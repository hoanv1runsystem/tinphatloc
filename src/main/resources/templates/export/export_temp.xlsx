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79" firstSheet="1" activeTab="6"/>
  </bookViews>
  <sheets>
    <sheet name="TMP_KHACH_HANG" sheetId="1" r:id="rId1"/>
    <sheet name="TMP_NHAN_VIEN" sheetId="4" r:id="rId2"/>
    <sheet name="TMP_CONG_TRINH" sheetId="3" r:id="rId3"/>
    <sheet name="TMP_THIET_BI" sheetId="2" r:id="rId4"/>
    <sheet name="TMP_TONG_HOP" sheetId="5" r:id="rId5"/>
    <sheet name="TMP_CHI_PHI" sheetId="6" r:id="rId6"/>
    <sheet name="TMP_NHAP_NHIEN_LIEU" sheetId="8" r:id="rId7"/>
    <sheet name="TMP_CAP_NHIEN_LIEU" sheetId="7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8" l="1"/>
  <c r="C6" i="7"/>
</calcChain>
</file>

<file path=xl/comments1.xml><?xml version="1.0" encoding="utf-8"?>
<comments xmlns="http://schemas.openxmlformats.org/spreadsheetml/2006/main">
  <authors>
    <author>Author</author>
  </authors>
  <commentList>
    <comment ref="B7" authorId="0" shapeId="0">
      <text>
        <r>
          <rPr>
            <sz val="11"/>
            <color theme="1"/>
            <rFont val="Calibri"/>
            <family val="2"/>
            <scheme val="minor"/>
          </rPr>
          <t>======
ID#AAABrtxlB6w
tc={36A654E8-EAA6-47BC-B081-B9108D47E495}    (2025-10-02 09:27:43)
[Threaded comment]
Your version of Excel allows you to read this threaded comment; however, any edits to it will get removed if the file is opened in a newer version of Excel. Learn more: https://go.microsoft.com/fwlink/?linkid=870924
Comment:
    Bắt buộc nhập Mã hàng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======
ID#AAABrtxlB44
tc={C5443391-8020-4107-A012-69840C88BAFB}    (2025-10-02 09:27:43)
[Threaded comment]
Your version of Excel allows you to read this threaded comment; however, any edits to it will get removed if the file is opened in a newer version of Excel. Learn more: https://go.microsoft.com/fwlink/?linkid=870924
Comment:
    *Bắt buộc nhập.Nếu là:
-Công cụ nhập 153
-NVL nhập 152
-Thành phẩm 155
-Hàng hoá 156</t>
        </r>
      </text>
    </comment>
  </commentList>
</comments>
</file>

<file path=xl/sharedStrings.xml><?xml version="1.0" encoding="utf-8"?>
<sst xmlns="http://schemas.openxmlformats.org/spreadsheetml/2006/main" count="126" uniqueCount="87">
  <si>
    <t>Khu phố Phước Tấn, Phường Tân Hòa, Thành phố Phú Mỹ, Tỉnh Bà Rịa- Vũng Tàu</t>
  </si>
  <si>
    <t>CÔNG TY TNHH XD TM DV TÍN PHÁT LỘC</t>
  </si>
  <si>
    <t>STT</t>
  </si>
  <si>
    <t>Mã</t>
  </si>
  <si>
    <t>Tên Khách hàng</t>
  </si>
  <si>
    <t>Ghi chú</t>
  </si>
  <si>
    <t>Danh mục công trình</t>
  </si>
  <si>
    <t>Mã CÔNG TRÌNH</t>
  </si>
  <si>
    <t>TÊN CÔNG TRÌNH</t>
  </si>
  <si>
    <t>Mã KH/NCC</t>
  </si>
  <si>
    <t xml:space="preserve">Mã TK </t>
  </si>
  <si>
    <t>LOẠI CÔNG TRÌNH</t>
  </si>
  <si>
    <t>TÌNH TRẠNG</t>
  </si>
  <si>
    <t>NGÀY BẮT ĐẦU</t>
  </si>
  <si>
    <t>NGÀY KẾT THÚC</t>
  </si>
  <si>
    <t>HẠN THANH TOÁN</t>
  </si>
  <si>
    <t>DỰ TOÁN</t>
  </si>
  <si>
    <t>CHỦ ĐẦU TƯ</t>
  </si>
  <si>
    <t>ĐỊA CHỈ</t>
  </si>
  <si>
    <t>DANH MỤC MÁY MÓC</t>
  </si>
  <si>
    <t>MÃ MÁY</t>
  </si>
  <si>
    <t>TÊN MÁY MÓC, THIẾT BỊ</t>
  </si>
  <si>
    <t>ĐẶC TÍNH KT</t>
  </si>
  <si>
    <t>ĐVT</t>
  </si>
  <si>
    <t>Time
/DVT</t>
  </si>
  <si>
    <t>Đơn giá
/ĐVT</t>
  </si>
  <si>
    <t>Nhiên liệu chính</t>
  </si>
  <si>
    <t>Nhiên liệu, năng lượng tiêu hao
/DVT</t>
  </si>
  <si>
    <t>DVT
(NLC)</t>
  </si>
  <si>
    <t>Lương điều khiển/ca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</si>
  <si>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</si>
  <si>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</si>
  <si>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</si>
  <si>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</si>
  <si>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</si>
  <si>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</si>
  <si>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</si>
  <si>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</si>
  <si>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</si>
  <si>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</si>
  <si>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</si>
  <si>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Tên Nhân Viên</t>
  </si>
  <si>
    <t>Tên máy móc, thiết bị:</t>
  </si>
  <si>
    <t>Ngày chứng từ</t>
  </si>
  <si>
    <t>Số phiếu</t>
  </si>
  <si>
    <t>Diễn giải</t>
  </si>
  <si>
    <t>Tên máy móc, thiết bị</t>
  </si>
  <si>
    <t>Số km</t>
  </si>
  <si>
    <t>Khối lượng</t>
  </si>
  <si>
    <t>Số ca</t>
  </si>
  <si>
    <t>Công trình</t>
  </si>
  <si>
    <t>Bắt đầu</t>
  </si>
  <si>
    <t>Kết thúc</t>
  </si>
  <si>
    <t>MST: 3502342348</t>
  </si>
  <si>
    <t>BẢNG THEO DÕI MÁY THI CÔNG</t>
  </si>
  <si>
    <t>Tổng</t>
  </si>
  <si>
    <t>Số Chuyến</t>
  </si>
  <si>
    <t>Số Tấn</t>
  </si>
  <si>
    <t>Ca Sáng</t>
  </si>
  <si>
    <t>Ca Chiều</t>
  </si>
  <si>
    <t>Ca Tối</t>
  </si>
  <si>
    <t>Số Giờ</t>
  </si>
  <si>
    <t>Đơn giá</t>
  </si>
  <si>
    <t>Thành tiền</t>
  </si>
  <si>
    <t>BẢNG TỔNG HỢP CHI PHÍ</t>
  </si>
  <si>
    <t>Mã xe</t>
  </si>
  <si>
    <t>mã hàng</t>
  </si>
  <si>
    <t>Tên hàng</t>
  </si>
  <si>
    <t>Đơn vị tính</t>
  </si>
  <si>
    <t>Số lượng</t>
  </si>
  <si>
    <t>Mã NCC</t>
  </si>
  <si>
    <t>Tên NCC</t>
  </si>
  <si>
    <t>Người lái máy</t>
  </si>
  <si>
    <t>Mã Công trình</t>
  </si>
  <si>
    <t>BẢNG CẤP NHIÊN LIỆU DẦU</t>
  </si>
  <si>
    <t>Ngày cấp</t>
  </si>
  <si>
    <t>Đồng hồ
 trước cấp</t>
  </si>
  <si>
    <t>Đồng hồ
 sau cấp</t>
  </si>
  <si>
    <t>Số lượng cấp</t>
  </si>
  <si>
    <t>Nhân viên cấp</t>
  </si>
  <si>
    <t>Nhiên Liệu</t>
  </si>
  <si>
    <t>Ngày Nhập</t>
  </si>
  <si>
    <t>Tên Nhiên Liệu</t>
  </si>
  <si>
    <t>Số Lượng</t>
  </si>
  <si>
    <t>Đơn Giá</t>
  </si>
  <si>
    <t>Nhân Viên Nhập</t>
  </si>
  <si>
    <t>Mã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</si>
</sst>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\/mm\/yyyy"/>
    <numFmt numFmtId="165" formatCode="0_);\(0\)"/>
    <numFmt numFmtId="166" formatCode="#,##0;\-#,##0;"/>
    <numFmt numFmtId="167" formatCode="_ * #,###.#_ ;_ * \-#,###.#_ ;_ * &quot;-&quot;??_ ;_ @_ "/>
    <numFmt numFmtId="168" formatCode="_(* #,##0_);_(* \(#,##0\);_(* &quot;-&quot;??_);_(@_)"/>
    <numFmt numFmtId="169" formatCode="_(* #,##0.00_);_(* \(#,##0.00\);_(* &quot;-&quot;??_);_(@_)"/>
    <numFmt numFmtId="170" formatCode="_ * #,###_ ;_ * \-#,###_ ;_ * &quot;-&quot;??_ ;_ @_ "/>
  </numFmts>
  <fonts count="3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i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3"/>
      <color theme="1"/>
      <name val="Times New Roman"/>
      <family val="1"/>
    </font>
    <font>
      <i/>
      <sz val="1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i/>
      <sz val="10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</font>
    <font>
      <sz val="12"/>
      <color theme="1"/>
      <name val="Times New Roman"/>
    </font>
    <font>
      <i/>
      <sz val="12"/>
      <color theme="1"/>
      <name val="Times New Roman"/>
    </font>
    <font>
      <b/>
      <sz val="10"/>
      <color theme="1"/>
      <name val="Times New Roman"/>
    </font>
    <font>
      <b/>
      <sz val="14"/>
      <color theme="1"/>
      <name val="Times New Roman"/>
    </font>
    <font>
      <sz val="10"/>
      <color theme="1"/>
      <name val="Times New Roman"/>
    </font>
    <font>
      <sz val="13"/>
      <color theme="1"/>
      <name val="Times New Roman"/>
    </font>
    <font>
      <sz val="12"/>
      <color rgb="FF0000FF"/>
      <name val="Times New Roman"/>
    </font>
    <font>
      <sz val="10"/>
      <color rgb="FF0000FF"/>
      <name val="Times New Roman"/>
    </font>
    <font>
      <b/>
      <sz val="12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0F9FE"/>
        <bgColor rgb="FFD0F9FE"/>
      </patternFill>
    </fill>
  </fills>
  <borders count="16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hair">
        <color rgb="FF0070C0"/>
      </top>
      <bottom/>
      <diagonal/>
    </border>
    <border>
      <left style="thin">
        <color rgb="FF0070C0"/>
      </left>
      <right style="thin">
        <color rgb="FF0070C0"/>
      </right>
      <top style="hair">
        <color rgb="FF0070C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hair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thin">
        <color rgb="FF0070C0"/>
      </left>
      <right style="medium">
        <color rgb="FF0070C0"/>
      </right>
      <top style="hair">
        <color rgb="FF0070C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165" fontId="5" fillId="4" borderId="5" xfId="0" applyNumberFormat="1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1" fontId="4" fillId="3" borderId="9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/>
    <xf numFmtId="49" fontId="4" fillId="0" borderId="3" xfId="0" quotePrefix="1" applyNumberFormat="1" applyFont="1" applyBorder="1" applyAlignment="1">
      <alignment wrapText="1"/>
    </xf>
    <xf numFmtId="49" fontId="4" fillId="0" borderId="3" xfId="0" applyNumberFormat="1" applyFont="1" applyBorder="1" applyAlignment="1">
      <alignment wrapText="1"/>
    </xf>
    <xf numFmtId="49" fontId="4" fillId="0" borderId="3" xfId="0" applyNumberFormat="1" applyFont="1" applyBorder="1" applyAlignment="1">
      <alignment horizontal="left" vertical="center" wrapText="1"/>
    </xf>
    <xf numFmtId="165" fontId="5" fillId="5" borderId="3" xfId="0" applyNumberFormat="1" applyFont="1" applyFill="1" applyBorder="1" applyAlignment="1">
      <alignment horizontal="center" vertical="center" wrapText="1"/>
    </xf>
    <xf numFmtId="166" fontId="4" fillId="0" borderId="3" xfId="0" applyNumberFormat="1" applyFont="1" applyBorder="1" applyAlignment="1">
      <alignment wrapText="1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2" fillId="6" borderId="10" xfId="0" applyNumberFormat="1" applyFont="1" applyFill="1" applyBorder="1" applyAlignment="1">
      <alignment horizontal="center" vertical="center" wrapText="1"/>
    </xf>
    <xf numFmtId="49" fontId="12" fillId="7" borderId="10" xfId="0" applyNumberFormat="1" applyFont="1" applyFill="1" applyBorder="1" applyAlignment="1">
      <alignment horizontal="center" vertical="center" wrapText="1"/>
    </xf>
    <xf numFmtId="167" fontId="12" fillId="7" borderId="10" xfId="0" applyNumberFormat="1" applyFont="1" applyFill="1" applyBorder="1" applyAlignment="1">
      <alignment horizontal="center" vertical="center" wrapText="1"/>
    </xf>
    <xf numFmtId="49" fontId="12" fillId="8" borderId="10" xfId="0" applyNumberFormat="1" applyFont="1" applyFill="1" applyBorder="1" applyAlignment="1">
      <alignment horizontal="center" vertical="center" wrapText="1"/>
    </xf>
    <xf numFmtId="49" fontId="13" fillId="0" borderId="3" xfId="0" applyNumberFormat="1" applyFont="1" applyBorder="1" applyAlignment="1"/>
    <xf numFmtId="49" fontId="9" fillId="0" borderId="3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vertical="center" wrapText="1"/>
    </xf>
    <xf numFmtId="49" fontId="13" fillId="0" borderId="3" xfId="0" applyNumberFormat="1" applyFont="1" applyBorder="1" applyAlignment="1">
      <alignment wrapText="1"/>
    </xf>
    <xf numFmtId="167" fontId="14" fillId="0" borderId="3" xfId="0" applyNumberFormat="1" applyFont="1" applyBorder="1" applyAlignment="1">
      <alignment horizontal="right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20" fontId="15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vertical="center"/>
    </xf>
    <xf numFmtId="39" fontId="15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168" fontId="15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20" fontId="16" fillId="0" borderId="0" xfId="0" applyNumberFormat="1" applyFont="1" applyAlignment="1">
      <alignment vertical="center"/>
    </xf>
    <xf numFmtId="168" fontId="15" fillId="0" borderId="0" xfId="0" applyNumberFormat="1" applyFont="1" applyAlignment="1">
      <alignment horizontal="left" vertical="center"/>
    </xf>
    <xf numFmtId="39" fontId="16" fillId="0" borderId="0" xfId="0" applyNumberFormat="1" applyFont="1" applyAlignment="1">
      <alignment vertical="center"/>
    </xf>
    <xf numFmtId="169" fontId="16" fillId="0" borderId="0" xfId="0" applyNumberFormat="1" applyFont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4" fontId="15" fillId="0" borderId="0" xfId="0" applyNumberFormat="1" applyFont="1" applyAlignment="1">
      <alignment horizontal="center" vertical="center"/>
    </xf>
    <xf numFmtId="39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4" fontId="16" fillId="9" borderId="11" xfId="0" applyNumberFormat="1" applyFont="1" applyFill="1" applyBorder="1" applyAlignment="1">
      <alignment horizontal="center" vertical="center" wrapText="1"/>
    </xf>
    <xf numFmtId="168" fontId="16" fillId="9" borderId="11" xfId="0" applyNumberFormat="1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 wrapText="1"/>
    </xf>
    <xf numFmtId="4" fontId="16" fillId="9" borderId="11" xfId="0" applyNumberFormat="1" applyFont="1" applyFill="1" applyBorder="1" applyAlignment="1">
      <alignment horizontal="center" vertical="center" wrapText="1"/>
    </xf>
    <xf numFmtId="39" fontId="16" fillId="9" borderId="11" xfId="0" applyNumberFormat="1" applyFont="1" applyFill="1" applyBorder="1" applyAlignment="1">
      <alignment horizontal="center" vertical="center" wrapText="1"/>
    </xf>
    <xf numFmtId="169" fontId="16" fillId="9" borderId="4" xfId="0" applyNumberFormat="1" applyFont="1" applyFill="1" applyBorder="1" applyAlignment="1">
      <alignment horizontal="center" vertical="center" wrapText="1"/>
    </xf>
    <xf numFmtId="164" fontId="16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8" fontId="18" fillId="0" borderId="0" xfId="0" applyNumberFormat="1" applyFont="1" applyAlignment="1">
      <alignment vertical="center"/>
    </xf>
    <xf numFmtId="169" fontId="15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16" fillId="9" borderId="14" xfId="0" applyNumberFormat="1" applyFont="1" applyFill="1" applyBorder="1" applyAlignment="1">
      <alignment horizontal="center" vertical="center" wrapText="1"/>
    </xf>
    <xf numFmtId="168" fontId="16" fillId="9" borderId="14" xfId="0" applyNumberFormat="1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wrapText="1"/>
    </xf>
    <xf numFmtId="4" fontId="16" fillId="9" borderId="14" xfId="0" applyNumberFormat="1" applyFont="1" applyFill="1" applyBorder="1" applyAlignment="1">
      <alignment horizontal="center" vertical="center"/>
    </xf>
    <xf numFmtId="20" fontId="16" fillId="9" borderId="14" xfId="0" applyNumberFormat="1" applyFont="1" applyFill="1" applyBorder="1" applyAlignment="1">
      <alignment horizontal="center" vertical="center"/>
    </xf>
    <xf numFmtId="20" fontId="16" fillId="9" borderId="14" xfId="0" applyNumberFormat="1" applyFont="1" applyFill="1" applyBorder="1" applyAlignment="1">
      <alignment horizontal="center" vertical="center" wrapText="1"/>
    </xf>
    <xf numFmtId="39" fontId="16" fillId="9" borderId="14" xfId="0" applyNumberFormat="1" applyFont="1" applyFill="1" applyBorder="1" applyAlignment="1">
      <alignment horizontal="center" vertical="center" wrapText="1"/>
    </xf>
    <xf numFmtId="169" fontId="16" fillId="9" borderId="15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Border="1" applyAlignment="1">
      <alignment horizontal="center" vertical="center"/>
    </xf>
    <xf numFmtId="0" fontId="16" fillId="9" borderId="3" xfId="0" applyNumberFormat="1" applyFont="1" applyFill="1" applyBorder="1" applyAlignment="1">
      <alignment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0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/>
    </xf>
    <xf numFmtId="4" fontId="15" fillId="0" borderId="3" xfId="0" applyNumberFormat="1" applyFont="1" applyBorder="1" applyAlignment="1">
      <alignment horizontal="left" vertical="center"/>
    </xf>
    <xf numFmtId="4" fontId="15" fillId="0" borderId="3" xfId="0" applyNumberFormat="1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/>
    </xf>
    <xf numFmtId="0" fontId="8" fillId="9" borderId="3" xfId="0" applyNumberFormat="1" applyFont="1" applyFill="1" applyBorder="1" applyAlignment="1">
      <alignment vertical="center" wrapText="1"/>
    </xf>
    <xf numFmtId="4" fontId="8" fillId="9" borderId="11" xfId="0" applyNumberFormat="1" applyFont="1" applyFill="1" applyBorder="1" applyAlignment="1">
      <alignment horizontal="center" vertical="center" wrapText="1"/>
    </xf>
    <xf numFmtId="20" fontId="8" fillId="9" borderId="11" xfId="0" applyNumberFormat="1" applyFont="1" applyFill="1" applyBorder="1" applyAlignment="1">
      <alignment horizontal="center" vertical="center" wrapText="1"/>
    </xf>
    <xf numFmtId="39" fontId="8" fillId="9" borderId="11" xfId="0" applyNumberFormat="1" applyFont="1" applyFill="1" applyBorder="1" applyAlignment="1">
      <alignment horizontal="center" vertical="center" wrapText="1"/>
    </xf>
    <xf numFmtId="0" fontId="15" fillId="0" borderId="3" xfId="0" applyNumberFormat="1" applyFont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0" fontId="15" fillId="0" borderId="0" xfId="0" applyNumberFormat="1" applyFont="1" applyAlignment="1">
      <alignment vertical="center"/>
    </xf>
    <xf numFmtId="20" fontId="8" fillId="9" borderId="12" xfId="0" applyNumberFormat="1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vertical="center"/>
    </xf>
    <xf numFmtId="164" fontId="20" fillId="0" borderId="0" xfId="0" applyNumberFormat="1" applyFont="1" applyAlignment="1">
      <alignment horizontal="left" vertical="center"/>
    </xf>
    <xf numFmtId="168" fontId="21" fillId="0" borderId="0" xfId="0" applyNumberFormat="1" applyFont="1" applyAlignment="1">
      <alignment vertical="center"/>
    </xf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>
      <alignment horizontal="left" vertical="center"/>
    </xf>
    <xf numFmtId="0" fontId="21" fillId="0" borderId="0" xfId="0" applyFont="1" applyAlignment="1"/>
    <xf numFmtId="168" fontId="21" fillId="0" borderId="0" xfId="0" applyNumberFormat="1" applyFont="1" applyAlignment="1">
      <alignment horizontal="center" vertical="center"/>
    </xf>
    <xf numFmtId="3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left" vertical="center"/>
    </xf>
    <xf numFmtId="14" fontId="23" fillId="0" borderId="0" xfId="0" applyNumberFormat="1" applyFont="1" applyAlignment="1">
      <alignment horizontal="center" vertical="center"/>
    </xf>
    <xf numFmtId="168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24" fillId="0" borderId="0" xfId="0" applyNumberFormat="1" applyFont="1" applyAlignment="1">
      <alignment vertical="center"/>
    </xf>
    <xf numFmtId="3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vertical="center"/>
    </xf>
    <xf numFmtId="14" fontId="25" fillId="0" borderId="0" xfId="0" applyNumberFormat="1" applyFont="1" applyAlignment="1">
      <alignment horizontal="center" vertical="center"/>
    </xf>
    <xf numFmtId="168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/>
    </xf>
    <xf numFmtId="49" fontId="25" fillId="0" borderId="0" xfId="0" applyNumberFormat="1" applyFont="1" applyAlignment="1">
      <alignment horizontal="left" vertical="center"/>
    </xf>
    <xf numFmtId="0" fontId="25" fillId="0" borderId="0" xfId="0" applyFont="1" applyAlignment="1"/>
    <xf numFmtId="3" fontId="25" fillId="0" borderId="0" xfId="0" applyNumberFormat="1" applyFont="1" applyAlignment="1">
      <alignment horizontal="center"/>
    </xf>
    <xf numFmtId="49" fontId="25" fillId="0" borderId="0" xfId="0" applyNumberFormat="1" applyFont="1" applyAlignment="1">
      <alignment horizontal="center" vertical="center"/>
    </xf>
    <xf numFmtId="14" fontId="23" fillId="9" borderId="3" xfId="0" applyNumberFormat="1" applyFont="1" applyFill="1" applyBorder="1" applyAlignment="1">
      <alignment horizontal="center" vertical="center" wrapText="1"/>
    </xf>
    <xf numFmtId="168" fontId="23" fillId="9" borderId="3" xfId="0" applyNumberFormat="1" applyFont="1" applyFill="1" applyBorder="1" applyAlignment="1">
      <alignment horizontal="center" vertical="center" wrapText="1"/>
    </xf>
    <xf numFmtId="49" fontId="23" fillId="9" borderId="3" xfId="0" applyNumberFormat="1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3" fontId="23" fillId="9" borderId="3" xfId="0" applyNumberFormat="1" applyFont="1" applyFill="1" applyBorder="1" applyAlignment="1">
      <alignment horizontal="center" vertical="center" wrapText="1"/>
    </xf>
    <xf numFmtId="14" fontId="25" fillId="0" borderId="3" xfId="0" applyNumberFormat="1" applyFont="1" applyBorder="1" applyAlignment="1">
      <alignment horizontal="center" vertical="center"/>
    </xf>
    <xf numFmtId="168" fontId="25" fillId="0" borderId="3" xfId="0" applyNumberFormat="1" applyFont="1" applyBorder="1" applyAlignment="1">
      <alignment horizontal="center" vertical="center"/>
    </xf>
    <xf numFmtId="49" fontId="26" fillId="0" borderId="3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vertical="center"/>
    </xf>
    <xf numFmtId="170" fontId="25" fillId="0" borderId="3" xfId="0" applyNumberFormat="1" applyFont="1" applyBorder="1" applyAlignment="1">
      <alignment vertical="center"/>
    </xf>
    <xf numFmtId="3" fontId="25" fillId="0" borderId="3" xfId="0" applyNumberFormat="1" applyFont="1" applyBorder="1" applyAlignment="1">
      <alignment vertical="center"/>
    </xf>
    <xf numFmtId="49" fontId="25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49" fontId="25" fillId="0" borderId="3" xfId="0" applyNumberFormat="1" applyFont="1" applyBorder="1" applyAlignment="1">
      <alignment vertical="center"/>
    </xf>
    <xf numFmtId="3" fontId="27" fillId="0" borderId="0" xfId="0" applyNumberFormat="1" applyFont="1" applyAlignment="1">
      <alignment vertical="center"/>
    </xf>
    <xf numFmtId="164" fontId="22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64" fontId="25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164" fontId="29" fillId="9" borderId="4" xfId="0" applyNumberFormat="1" applyFont="1" applyFill="1" applyBorder="1" applyAlignment="1">
      <alignment horizontal="center" vertical="center" wrapText="1"/>
    </xf>
    <xf numFmtId="49" fontId="29" fillId="9" borderId="4" xfId="0" applyNumberFormat="1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 wrapText="1"/>
    </xf>
    <xf numFmtId="164" fontId="30" fillId="0" borderId="3" xfId="0" applyNumberFormat="1" applyFont="1" applyBorder="1" applyAlignment="1">
      <alignment horizontal="center"/>
    </xf>
    <xf numFmtId="49" fontId="30" fillId="0" borderId="3" xfId="0" applyNumberFormat="1" applyFont="1" applyBorder="1" applyAlignment="1"/>
    <xf numFmtId="0" fontId="31" fillId="0" borderId="3" xfId="0" applyFont="1" applyBorder="1" applyAlignment="1">
      <alignment horizontal="left"/>
    </xf>
    <xf numFmtId="0" fontId="30" fillId="0" borderId="3" xfId="0" applyFont="1" applyBorder="1" applyAlignment="1"/>
    <xf numFmtId="0" fontId="30" fillId="0" borderId="3" xfId="0" applyFont="1" applyBorder="1" applyAlignment="1">
      <alignment horizontal="center"/>
    </xf>
    <xf numFmtId="168" fontId="30" fillId="0" borderId="3" xfId="0" applyNumberFormat="1" applyFont="1" applyBorder="1" applyAlignment="1">
      <alignment horizontal="center"/>
    </xf>
    <xf numFmtId="168" fontId="31" fillId="0" borderId="3" xfId="0" applyNumberFormat="1" applyFont="1" applyBorder="1" applyAlignment="1">
      <alignment horizontal="center"/>
    </xf>
    <xf numFmtId="0" fontId="0" fillId="0" borderId="3" xfId="0" applyBorder="1"/>
    <xf numFmtId="164" fontId="29" fillId="9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0</xdr:rowOff>
    </xdr:from>
    <xdr:ext cx="904875" cy="628650"/>
    <xdr:pic>
      <xdr:nvPicPr>
        <xdr:cNvPr id="3" name="image2.png" descr="tin phat loc-03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" y="0"/>
          <a:ext cx="904875" cy="6286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anv1\Downloads\B&#7843;ng%20Nh&#7853;t%20k&#253;%20M&#225;y%20Qu&#253;%20IV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KH"/>
      <sheetName val="DM Công trình"/>
      <sheetName val="DM Máy móc, thiết bị"/>
      <sheetName val="Dầu"/>
      <sheetName val="Chi phí"/>
      <sheetName val="Nhật ký xe"/>
      <sheetName val="Bảng chi tiết theo xe"/>
      <sheetName val="Bảng KL theo KH"/>
      <sheetName val="Bảng KL công trình"/>
      <sheetName val="TH ca máy"/>
      <sheetName val="TH DT_CP"/>
      <sheetName val="BÁO CÁO "/>
    </sheetNames>
    <sheetDataSet>
      <sheetData sheetId="0"/>
      <sheetData sheetId="1"/>
      <sheetData sheetId="2">
        <row r="1">
          <cell r="A1" t="str">
            <v>CÔNG TY TNHH XD TM DV TÍN PHÁT LỘC</v>
          </cell>
        </row>
        <row r="2">
          <cell r="A2" t="str">
            <v>Khu phố Phước Tấn, Phường Tân Hòa, Thành phố Phú Mỹ, Tỉnh Bà Rịa- Vũng Tàu</v>
          </cell>
        </row>
        <row r="5">
          <cell r="A5" t="str">
            <v>STT</v>
          </cell>
          <cell r="B5" t="str">
            <v>MÃ MÁY</v>
          </cell>
        </row>
        <row r="6">
          <cell r="B6">
            <v>1</v>
          </cell>
        </row>
        <row r="8">
          <cell r="B8" t="str">
            <v>MR-101</v>
          </cell>
        </row>
        <row r="9">
          <cell r="B9" t="str">
            <v>MR-102</v>
          </cell>
        </row>
        <row r="11">
          <cell r="B11" t="str">
            <v>LU-D-201</v>
          </cell>
        </row>
        <row r="12">
          <cell r="B12" t="str">
            <v>LU-D-202</v>
          </cell>
        </row>
        <row r="13">
          <cell r="B13" t="str">
            <v>LU-D-203</v>
          </cell>
        </row>
        <row r="15">
          <cell r="B15" t="str">
            <v>LU-L-301</v>
          </cell>
        </row>
        <row r="16">
          <cell r="B16" t="str">
            <v>LU-L-302</v>
          </cell>
        </row>
        <row r="17">
          <cell r="B17" t="str">
            <v>LU-L-303</v>
          </cell>
        </row>
        <row r="18">
          <cell r="B18" t="str">
            <v>LU-L-304</v>
          </cell>
        </row>
        <row r="20">
          <cell r="B20" t="str">
            <v>LU-T-401</v>
          </cell>
        </row>
        <row r="21">
          <cell r="B21" t="str">
            <v>LU-T-402</v>
          </cell>
        </row>
        <row r="23">
          <cell r="B23" t="str">
            <v>LU-R-501</v>
          </cell>
        </row>
        <row r="24">
          <cell r="B24" t="str">
            <v>LU-R-502</v>
          </cell>
        </row>
        <row r="25">
          <cell r="B25" t="str">
            <v>LU-R-503</v>
          </cell>
        </row>
        <row r="27">
          <cell r="B27" t="str">
            <v>CU-601</v>
          </cell>
        </row>
        <row r="29">
          <cell r="B29" t="str">
            <v>CU-602</v>
          </cell>
        </row>
        <row r="30">
          <cell r="B30" t="str">
            <v>CU-603</v>
          </cell>
        </row>
        <row r="32">
          <cell r="B32" t="str">
            <v>CU-604</v>
          </cell>
        </row>
        <row r="34">
          <cell r="B34" t="str">
            <v>UI-701</v>
          </cell>
        </row>
        <row r="35">
          <cell r="B35" t="str">
            <v>UI-702</v>
          </cell>
        </row>
        <row r="37">
          <cell r="B37" t="str">
            <v>XT-801</v>
          </cell>
        </row>
        <row r="38">
          <cell r="B38" t="str">
            <v>XT-802</v>
          </cell>
        </row>
        <row r="39">
          <cell r="B39" t="str">
            <v>XB-803</v>
          </cell>
        </row>
        <row r="40">
          <cell r="B40" t="str">
            <v>XB-804</v>
          </cell>
        </row>
        <row r="41">
          <cell r="B41" t="str">
            <v>XF-805</v>
          </cell>
        </row>
        <row r="43">
          <cell r="B43" t="str">
            <v>CB-901</v>
          </cell>
        </row>
        <row r="45">
          <cell r="B45" t="str">
            <v>XQ-1001</v>
          </cell>
        </row>
        <row r="46">
          <cell r="B46" t="str">
            <v>SD-1002</v>
          </cell>
        </row>
        <row r="47">
          <cell r="B47" t="str">
            <v>NK-1003</v>
          </cell>
        </row>
        <row r="48">
          <cell r="B48" t="str">
            <v>NK-1004</v>
          </cell>
        </row>
        <row r="49">
          <cell r="B49" t="str">
            <v>M-PHATD</v>
          </cell>
        </row>
        <row r="50">
          <cell r="B50" t="str">
            <v>M-CATSAT</v>
          </cell>
        </row>
        <row r="51">
          <cell r="B51" t="str">
            <v>CAT-BT</v>
          </cell>
        </row>
        <row r="52">
          <cell r="B52" t="str">
            <v>DUC-BT</v>
          </cell>
        </row>
        <row r="53">
          <cell r="B53" t="str">
            <v>DAM-B</v>
          </cell>
        </row>
        <row r="54">
          <cell r="B54" t="str">
            <v>DAM-C</v>
          </cell>
        </row>
        <row r="55">
          <cell r="B55" t="str">
            <v>DAM-R</v>
          </cell>
        </row>
        <row r="56">
          <cell r="B56" t="str">
            <v>M-MAICN</v>
          </cell>
        </row>
        <row r="57">
          <cell r="B57" t="str">
            <v>LUTAY</v>
          </cell>
        </row>
        <row r="58">
          <cell r="B58" t="str">
            <v>M-NO</v>
          </cell>
        </row>
        <row r="59">
          <cell r="B59" t="str">
            <v>M-TUOINHU</v>
          </cell>
        </row>
        <row r="60">
          <cell r="B60" t="str">
            <v>BAGAC</v>
          </cell>
        </row>
        <row r="61">
          <cell r="B61" t="str">
            <v>M-BOM</v>
          </cell>
        </row>
        <row r="62">
          <cell r="B62" t="str">
            <v>M-THOI</v>
          </cell>
        </row>
        <row r="63">
          <cell r="B63" t="str">
            <v>M-QUETVS</v>
          </cell>
        </row>
        <row r="64">
          <cell r="B64" t="str">
            <v>M-KHOAN</v>
          </cell>
        </row>
        <row r="65">
          <cell r="B65" t="str">
            <v>M-HAN</v>
          </cell>
        </row>
        <row r="67">
          <cell r="B67" t="str">
            <v>VC-VT</v>
          </cell>
        </row>
        <row r="69">
          <cell r="B69" t="str">
            <v>LU3AT</v>
          </cell>
        </row>
        <row r="70">
          <cell r="B70" t="str">
            <v>TH-CU-N</v>
          </cell>
        </row>
        <row r="71">
          <cell r="B71" t="str">
            <v>daoanhtuy</v>
          </cell>
        </row>
        <row r="72">
          <cell r="B72" t="str">
            <v>THUE09669</v>
          </cell>
        </row>
        <row r="73">
          <cell r="B73" t="str">
            <v>ThueXBen</v>
          </cell>
        </row>
        <row r="74">
          <cell r="B74" t="str">
            <v>TH-CU05</v>
          </cell>
        </row>
        <row r="75">
          <cell r="B75" t="str">
            <v>TH-SAN</v>
          </cell>
        </row>
        <row r="76">
          <cell r="B76" t="str">
            <v>TH-XB-SG</v>
          </cell>
        </row>
        <row r="77">
          <cell r="B77" t="str">
            <v>TH-DAO-07</v>
          </cell>
        </row>
        <row r="78">
          <cell r="B78" t="str">
            <v>TH-XB-DT</v>
          </cell>
        </row>
        <row r="79">
          <cell r="B79" t="str">
            <v>TH-72C06583</v>
          </cell>
        </row>
        <row r="80">
          <cell r="B80" t="str">
            <v>XE-TH28498</v>
          </cell>
        </row>
        <row r="81">
          <cell r="B81" t="str">
            <v>XE-TH02599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3" sqref="D13"/>
    </sheetView>
  </sheetViews>
  <sheetFormatPr defaultRowHeight="15" x14ac:dyDescent="0.25"/>
  <cols>
    <col min="1" max="1" width="9.85546875" customWidth="1"/>
    <col min="2" max="2" width="23.28515625" customWidth="1"/>
    <col min="3" max="3" width="26.5703125" customWidth="1"/>
    <col min="4" max="4" width="42.140625" customWidth="1"/>
  </cols>
  <sheetData>
    <row r="1" spans="1:4" ht="15.75" x14ac:dyDescent="0.25">
      <c r="A1" s="1" t="s">
        <v>1</v>
      </c>
      <c r="B1" s="2"/>
      <c r="C1" s="2"/>
      <c r="D1" s="2"/>
    </row>
    <row r="2" spans="1:4" ht="15.75" x14ac:dyDescent="0.25">
      <c r="A2" s="3" t="s">
        <v>0</v>
      </c>
      <c r="B2" s="2"/>
      <c r="C2" s="2"/>
      <c r="D2" s="2"/>
    </row>
    <row r="3" spans="1:4" ht="16.5" x14ac:dyDescent="0.25">
      <c r="A3" s="4"/>
      <c r="B3" s="4"/>
      <c r="C3" s="4"/>
      <c r="D3" s="4"/>
    </row>
    <row r="4" spans="1:4" ht="16.5" x14ac:dyDescent="0.25">
      <c r="A4" s="7" t="s">
        <v>2</v>
      </c>
      <c r="B4" s="7" t="s">
        <v>3</v>
      </c>
      <c r="C4" s="7" t="s">
        <v>4</v>
      </c>
      <c r="D4" s="7" t="s">
        <v>5</v>
      </c>
    </row>
    <row r="5" spans="1:4" ht="16.5" x14ac:dyDescent="0.25">
      <c r="A5" s="8">
        <v>1</v>
      </c>
      <c r="B5" s="8">
        <v>2</v>
      </c>
      <c r="C5" s="8">
        <v>3</v>
      </c>
      <c r="D5" s="8">
        <v>4</v>
      </c>
    </row>
    <row r="6" spans="1:4" x14ac:dyDescent="0.25">
      <c r="A6" s="44"/>
      <c r="B6" s="44"/>
      <c r="C6" s="45"/>
      <c r="D6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6" sqref="A6:XFD6"/>
    </sheetView>
  </sheetViews>
  <sheetFormatPr defaultRowHeight="15" x14ac:dyDescent="0.25"/>
  <cols>
    <col min="2" max="2" width="15.7109375" customWidth="1"/>
    <col min="3" max="3" width="34.7109375" customWidth="1"/>
    <col min="4" max="4" width="45.7109375" customWidth="1"/>
  </cols>
  <sheetData>
    <row r="1" spans="1:4" ht="15.75" x14ac:dyDescent="0.25">
      <c r="A1" s="1" t="s">
        <v>1</v>
      </c>
      <c r="B1" s="2"/>
      <c r="C1" s="2"/>
      <c r="D1" s="2"/>
    </row>
    <row r="2" spans="1:4" ht="15.75" x14ac:dyDescent="0.25">
      <c r="A2" s="3" t="s">
        <v>0</v>
      </c>
      <c r="B2" s="2"/>
      <c r="C2" s="2"/>
      <c r="D2" s="2"/>
    </row>
    <row r="3" spans="1:4" ht="16.5" x14ac:dyDescent="0.25">
      <c r="A3" s="4"/>
      <c r="B3" s="4"/>
      <c r="C3" s="4"/>
      <c r="D3" s="4"/>
    </row>
    <row r="4" spans="1:4" ht="16.5" x14ac:dyDescent="0.25">
      <c r="A4" s="7" t="s">
        <v>2</v>
      </c>
      <c r="B4" s="7" t="s">
        <v>3</v>
      </c>
      <c r="C4" s="7" t="s">
        <v>41</v>
      </c>
      <c r="D4" s="7" t="s">
        <v>5</v>
      </c>
    </row>
    <row r="5" spans="1:4" ht="16.5" x14ac:dyDescent="0.25">
      <c r="A5" s="8">
        <v>1</v>
      </c>
      <c r="B5" s="8">
        <v>2</v>
      </c>
      <c r="C5" s="8">
        <v>3</v>
      </c>
      <c r="D5" s="8">
        <v>4</v>
      </c>
    </row>
    <row r="6" spans="1:4" x14ac:dyDescent="0.25">
      <c r="A6" s="44"/>
      <c r="B6" s="44"/>
      <c r="C6" s="45"/>
      <c r="D6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"/>
  <sheetViews>
    <sheetView workbookViewId="0">
      <selection activeCell="C8" sqref="C8"/>
    </sheetView>
  </sheetViews>
  <sheetFormatPr defaultRowHeight="15" x14ac:dyDescent="0.25"/>
  <cols>
    <col min="2" max="2" width="13.85546875" customWidth="1"/>
    <col min="3" max="3" width="30.5703125" customWidth="1"/>
    <col min="4" max="4" width="15.42578125" customWidth="1"/>
    <col min="5" max="5" width="11.28515625" customWidth="1"/>
    <col min="6" max="6" width="15.28515625" customWidth="1"/>
    <col min="7" max="7" width="18.85546875" customWidth="1"/>
    <col min="8" max="8" width="19.140625" customWidth="1"/>
    <col min="9" max="9" width="18.28515625" customWidth="1"/>
    <col min="10" max="10" width="21.5703125" customWidth="1"/>
    <col min="11" max="11" width="16.5703125" customWidth="1"/>
    <col min="12" max="12" width="17.85546875" customWidth="1"/>
    <col min="13" max="13" width="19.42578125" customWidth="1"/>
  </cols>
  <sheetData>
    <row r="1" spans="1:13" ht="15.75" x14ac:dyDescent="0.25">
      <c r="A1" s="1" t="s">
        <v>1</v>
      </c>
      <c r="B1" s="2"/>
      <c r="C1" s="2"/>
      <c r="D1" s="2"/>
      <c r="E1" s="2"/>
      <c r="F1" s="9"/>
      <c r="G1" s="2"/>
      <c r="H1" s="2"/>
      <c r="I1" s="2"/>
      <c r="J1" s="2"/>
      <c r="K1" s="2"/>
      <c r="L1" s="2"/>
      <c r="M1" s="2"/>
    </row>
    <row r="2" spans="1:13" ht="15.75" x14ac:dyDescent="0.25">
      <c r="A2" s="3" t="s">
        <v>0</v>
      </c>
      <c r="B2" s="2"/>
      <c r="C2" s="2"/>
      <c r="D2" s="2"/>
      <c r="E2" s="2"/>
      <c r="F2" s="9"/>
      <c r="G2" s="2"/>
      <c r="H2" s="2"/>
      <c r="I2" s="2"/>
      <c r="J2" s="2"/>
      <c r="K2" s="2"/>
      <c r="L2" s="2"/>
      <c r="M2" s="2"/>
    </row>
    <row r="3" spans="1:13" ht="15.75" x14ac:dyDescent="0.25">
      <c r="A3" s="3"/>
      <c r="B3" s="2"/>
      <c r="C3" s="2"/>
      <c r="D3" s="2"/>
      <c r="E3" s="2"/>
      <c r="F3" s="9"/>
      <c r="G3" s="2"/>
      <c r="H3" s="2"/>
      <c r="I3" s="2"/>
      <c r="J3" s="2"/>
      <c r="K3" s="2"/>
      <c r="L3" s="2"/>
      <c r="M3" s="2"/>
    </row>
    <row r="4" spans="1:13" ht="18.75" x14ac:dyDescent="0.3">
      <c r="A4" s="2"/>
      <c r="B4" s="2"/>
      <c r="C4" s="2"/>
      <c r="D4" s="2"/>
      <c r="E4" s="2"/>
      <c r="F4" s="27" t="s">
        <v>6</v>
      </c>
      <c r="G4" s="2"/>
      <c r="H4" s="2"/>
      <c r="I4" s="2"/>
      <c r="J4" s="2"/>
      <c r="K4" s="2"/>
      <c r="L4" s="2"/>
      <c r="M4" s="2"/>
    </row>
    <row r="5" spans="1:13" ht="15.75" x14ac:dyDescent="0.25">
      <c r="B5" s="10"/>
      <c r="C5" s="10"/>
      <c r="D5" s="10"/>
      <c r="E5" s="10"/>
      <c r="F5" s="11"/>
      <c r="G5" s="10"/>
      <c r="H5" s="12"/>
      <c r="I5" s="12"/>
      <c r="J5" s="12"/>
      <c r="K5" s="2"/>
      <c r="L5" s="2"/>
      <c r="M5" s="2"/>
    </row>
    <row r="6" spans="1:13" ht="17.25" thickBot="1" x14ac:dyDescent="0.3">
      <c r="A6" s="13"/>
      <c r="B6" s="14"/>
      <c r="C6" s="14"/>
      <c r="D6" s="15"/>
      <c r="E6" s="16"/>
      <c r="F6" s="16"/>
      <c r="G6" s="16"/>
      <c r="H6" s="16"/>
      <c r="I6" s="16"/>
      <c r="J6" s="16"/>
      <c r="K6" s="16"/>
      <c r="L6" s="16"/>
      <c r="M6" s="16"/>
    </row>
    <row r="7" spans="1:13" ht="33" x14ac:dyDescent="0.25">
      <c r="A7" s="17" t="s">
        <v>2</v>
      </c>
      <c r="B7" s="18" t="s">
        <v>7</v>
      </c>
      <c r="C7" s="18" t="s">
        <v>8</v>
      </c>
      <c r="D7" s="18" t="s">
        <v>9</v>
      </c>
      <c r="E7" s="18" t="s">
        <v>10</v>
      </c>
      <c r="F7" s="18" t="s">
        <v>11</v>
      </c>
      <c r="G7" s="18" t="s">
        <v>12</v>
      </c>
      <c r="H7" s="18" t="s">
        <v>13</v>
      </c>
      <c r="I7" s="18" t="s">
        <v>14</v>
      </c>
      <c r="J7" s="18" t="s">
        <v>15</v>
      </c>
      <c r="K7" s="18" t="s">
        <v>16</v>
      </c>
      <c r="L7" s="18" t="s">
        <v>17</v>
      </c>
      <c r="M7" s="19" t="s">
        <v>18</v>
      </c>
    </row>
    <row r="8" spans="1:13" ht="16.5" x14ac:dyDescent="0.25">
      <c r="A8" s="5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20">
        <v>13</v>
      </c>
    </row>
    <row r="9" spans="1:13" ht="16.5" x14ac:dyDescent="0.25">
      <c r="A9" s="21"/>
      <c r="B9" s="22"/>
      <c r="C9" s="23"/>
      <c r="D9" s="24"/>
      <c r="E9" s="25"/>
      <c r="F9" s="26"/>
      <c r="G9" s="26"/>
      <c r="H9" s="26"/>
      <c r="I9" s="26"/>
      <c r="J9" s="26"/>
      <c r="K9" s="26"/>
      <c r="L9" s="26"/>
      <c r="M9" s="26"/>
    </row>
  </sheetData>
  <dataValidations count="1">
    <dataValidation type="custom" allowBlank="1" showInputMessage="1" showErrorMessage="1" prompt="THÔNG BÁO TRÙNG MÃ ! - MÃ NÀY ĐÃ TỒN TẠI BẠN KIỂM TRA LẠI!" sqref="B9">
      <formula1>COUNTIF($C$10:$C$65443,B9)=1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opLeftCell="A7" workbookViewId="0">
      <selection activeCell="D15" sqref="D15"/>
    </sheetView>
  </sheetViews>
  <sheetFormatPr defaultRowHeight="15" x14ac:dyDescent="0.25"/>
  <cols>
    <col min="2" max="2" width="14.140625" customWidth="1"/>
    <col min="3" max="4" width="32.7109375" customWidth="1"/>
    <col min="7" max="7" width="12.5703125" customWidth="1"/>
    <col min="8" max="8" width="13.42578125" customWidth="1"/>
    <col min="9" max="9" width="19.28515625" customWidth="1"/>
    <col min="10" max="10" width="19.42578125" customWidth="1"/>
    <col min="11" max="11" width="21.42578125" customWidth="1"/>
  </cols>
  <sheetData>
    <row r="1" spans="1:11" ht="16.5" x14ac:dyDescent="0.25">
      <c r="A1" s="28" t="s">
        <v>1</v>
      </c>
      <c r="B1" s="29"/>
      <c r="C1" s="30"/>
      <c r="D1" s="30"/>
      <c r="E1" s="30"/>
      <c r="F1" s="30"/>
      <c r="G1" s="31"/>
      <c r="H1" s="30"/>
      <c r="I1" s="30"/>
      <c r="J1" s="30"/>
      <c r="K1" s="30"/>
    </row>
    <row r="2" spans="1:11" ht="16.5" x14ac:dyDescent="0.25">
      <c r="A2" s="32" t="s">
        <v>0</v>
      </c>
      <c r="B2" s="29"/>
      <c r="C2" s="30"/>
      <c r="D2" s="30"/>
      <c r="E2" s="30"/>
      <c r="F2" s="30"/>
      <c r="G2" s="31"/>
      <c r="H2" s="30"/>
      <c r="I2" s="30"/>
      <c r="J2" s="30"/>
      <c r="K2" s="30"/>
    </row>
    <row r="3" spans="1:11" ht="16.5" x14ac:dyDescent="0.25">
      <c r="A3" s="30"/>
      <c r="B3" s="29"/>
      <c r="C3" s="33" t="s">
        <v>19</v>
      </c>
      <c r="D3" s="30"/>
      <c r="E3" s="30"/>
      <c r="F3" s="30"/>
      <c r="G3" s="31"/>
      <c r="H3" s="30"/>
      <c r="I3" s="30"/>
      <c r="J3" s="30"/>
      <c r="K3" s="30"/>
    </row>
    <row r="4" spans="1:11" ht="16.5" x14ac:dyDescent="0.25">
      <c r="A4" s="30"/>
      <c r="B4" s="29"/>
      <c r="C4" s="30"/>
      <c r="D4" s="30"/>
      <c r="E4" s="30"/>
      <c r="F4" s="30"/>
      <c r="G4" s="31"/>
      <c r="H4" s="30"/>
      <c r="I4" s="30"/>
      <c r="J4" s="30"/>
      <c r="K4" s="30"/>
    </row>
    <row r="5" spans="1:11" ht="42.75" x14ac:dyDescent="0.25">
      <c r="A5" s="34" t="s">
        <v>2</v>
      </c>
      <c r="B5" s="34" t="s">
        <v>20</v>
      </c>
      <c r="C5" s="34" t="s">
        <v>21</v>
      </c>
      <c r="D5" s="34" t="s">
        <v>22</v>
      </c>
      <c r="E5" s="35" t="s">
        <v>23</v>
      </c>
      <c r="F5" s="35" t="s">
        <v>24</v>
      </c>
      <c r="G5" s="36" t="s">
        <v>25</v>
      </c>
      <c r="H5" s="37" t="s">
        <v>26</v>
      </c>
      <c r="I5" s="37" t="s">
        <v>27</v>
      </c>
      <c r="J5" s="37" t="s">
        <v>28</v>
      </c>
      <c r="K5" s="37" t="s">
        <v>29</v>
      </c>
    </row>
    <row r="6" spans="1:11" x14ac:dyDescent="0.25">
      <c r="A6" s="43" t="s">
        <v>30</v>
      </c>
      <c r="B6" s="43" t="s">
        <v>31</v>
      </c>
      <c r="C6" s="43" t="s">
        <v>32</v>
      </c>
      <c r="D6" s="43" t="s">
        <v>33</v>
      </c>
      <c r="E6" s="43" t="s">
        <v>34</v>
      </c>
      <c r="F6" s="43" t="s">
        <v>35</v>
      </c>
      <c r="G6" s="43" t="s">
        <v>36</v>
      </c>
      <c r="H6" s="43" t="s">
        <v>37</v>
      </c>
      <c r="I6" s="43" t="s">
        <v>38</v>
      </c>
      <c r="J6" s="43" t="s">
        <v>39</v>
      </c>
      <c r="K6" s="43" t="s">
        <v>40</v>
      </c>
    </row>
    <row r="7" spans="1:11" ht="16.5" x14ac:dyDescent="0.25">
      <c r="A7" s="38"/>
      <c r="B7" s="39"/>
      <c r="C7" s="40"/>
      <c r="D7" s="40"/>
      <c r="E7" s="41"/>
      <c r="F7" s="41"/>
      <c r="G7" s="42"/>
      <c r="H7" s="41"/>
      <c r="I7" s="41"/>
      <c r="J7" s="41"/>
      <c r="K7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F24" sqref="F24"/>
    </sheetView>
  </sheetViews>
  <sheetFormatPr defaultRowHeight="15" x14ac:dyDescent="0.25"/>
  <cols>
    <col min="1" max="1" width="15" customWidth="1"/>
    <col min="2" max="2" width="8.42578125" customWidth="1"/>
    <col min="3" max="3" width="37.28515625" customWidth="1"/>
    <col min="4" max="4" width="31.42578125" customWidth="1"/>
    <col min="5" max="5" width="10.140625" customWidth="1"/>
    <col min="6" max="6" width="9.5703125" customWidth="1"/>
    <col min="7" max="7" width="8.140625" customWidth="1"/>
    <col min="8" max="8" width="10" customWidth="1"/>
    <col min="9" max="11" width="8.5703125" customWidth="1"/>
    <col min="12" max="13" width="7.140625" customWidth="1"/>
    <col min="14" max="14" width="8" customWidth="1"/>
    <col min="15" max="15" width="7.7109375" customWidth="1"/>
    <col min="16" max="16" width="8.42578125" customWidth="1"/>
    <col min="17" max="17" width="12" customWidth="1"/>
    <col min="18" max="18" width="16.5703125" customWidth="1"/>
    <col min="19" max="19" width="23.28515625" customWidth="1"/>
  </cols>
  <sheetData>
    <row r="1" spans="1:19" x14ac:dyDescent="0.25">
      <c r="A1" s="61"/>
      <c r="B1" s="72" t="s">
        <v>1</v>
      </c>
      <c r="C1" s="62"/>
      <c r="D1" s="49"/>
      <c r="E1" s="49"/>
      <c r="F1" s="49"/>
      <c r="G1" s="49"/>
      <c r="H1" s="49"/>
      <c r="I1" s="52"/>
      <c r="J1" s="52"/>
      <c r="K1" s="52"/>
      <c r="L1" s="52"/>
      <c r="M1" s="52"/>
      <c r="N1" s="52"/>
      <c r="O1" s="52"/>
      <c r="P1" s="52"/>
      <c r="Q1" s="52"/>
      <c r="R1" s="53"/>
      <c r="S1" s="75"/>
    </row>
    <row r="2" spans="1:19" x14ac:dyDescent="0.25">
      <c r="A2" s="61"/>
      <c r="B2" s="73" t="s">
        <v>0</v>
      </c>
      <c r="C2" s="62"/>
      <c r="D2" s="49"/>
      <c r="E2" s="49"/>
      <c r="F2" s="49"/>
      <c r="G2" s="49"/>
      <c r="H2" s="49"/>
      <c r="I2" s="52"/>
      <c r="J2" s="52"/>
      <c r="K2" s="52"/>
      <c r="L2" s="52"/>
      <c r="M2" s="52"/>
      <c r="N2" s="52"/>
      <c r="O2" s="52"/>
      <c r="P2" s="52"/>
      <c r="Q2" s="52"/>
      <c r="R2" s="53"/>
      <c r="S2" s="75"/>
    </row>
    <row r="3" spans="1:19" x14ac:dyDescent="0.25">
      <c r="A3" s="73"/>
      <c r="B3" s="74" t="s">
        <v>53</v>
      </c>
      <c r="C3" s="62"/>
      <c r="D3" s="49"/>
      <c r="E3" s="49"/>
      <c r="F3" s="49"/>
      <c r="G3" s="49"/>
      <c r="H3" s="49"/>
      <c r="I3" s="52"/>
      <c r="J3" s="52"/>
      <c r="K3" s="52"/>
      <c r="L3" s="52"/>
      <c r="M3" s="52"/>
      <c r="N3" s="52"/>
      <c r="O3" s="52"/>
      <c r="P3" s="52"/>
      <c r="Q3" s="52"/>
      <c r="R3" s="53"/>
      <c r="S3" s="75"/>
    </row>
    <row r="4" spans="1:19" ht="20.25" x14ac:dyDescent="0.25">
      <c r="A4" s="73"/>
      <c r="B4" s="55"/>
      <c r="C4" s="76" t="s">
        <v>54</v>
      </c>
      <c r="D4" s="49"/>
      <c r="E4" s="49"/>
      <c r="F4" s="49"/>
      <c r="G4" s="49"/>
      <c r="H4" s="49"/>
      <c r="I4" s="52"/>
      <c r="J4" s="52"/>
      <c r="K4" s="52"/>
      <c r="L4" s="52"/>
      <c r="M4" s="52"/>
      <c r="N4" s="52"/>
      <c r="O4" s="52"/>
      <c r="P4" s="52"/>
      <c r="Q4" s="52"/>
      <c r="R4" s="53"/>
      <c r="S4" s="75"/>
    </row>
    <row r="5" spans="1:19" x14ac:dyDescent="0.25">
      <c r="A5" s="46"/>
      <c r="B5" s="47"/>
      <c r="C5" s="48"/>
      <c r="D5" s="77" t="s">
        <v>42</v>
      </c>
      <c r="E5" s="49"/>
      <c r="F5" s="49"/>
      <c r="G5" s="49"/>
      <c r="H5" s="49"/>
      <c r="I5" s="50"/>
      <c r="J5" s="51"/>
      <c r="K5" s="51"/>
      <c r="L5" s="51"/>
      <c r="M5" s="51"/>
      <c r="N5" s="51"/>
      <c r="O5" s="52"/>
      <c r="P5" s="52"/>
      <c r="Q5" s="52"/>
      <c r="R5" s="53"/>
      <c r="S5" s="50"/>
    </row>
    <row r="6" spans="1:19" x14ac:dyDescent="0.25">
      <c r="A6" s="54"/>
      <c r="B6" s="55"/>
      <c r="C6" s="77"/>
      <c r="D6" s="102"/>
      <c r="E6" s="50"/>
      <c r="F6" s="50"/>
      <c r="G6" s="56"/>
      <c r="H6" s="49"/>
      <c r="I6" s="56"/>
      <c r="J6" s="57"/>
      <c r="K6" s="57"/>
      <c r="L6" s="57"/>
      <c r="M6" s="57"/>
      <c r="N6" s="57"/>
      <c r="O6" s="52"/>
      <c r="P6" s="52"/>
      <c r="Q6" s="52"/>
      <c r="R6" s="53"/>
      <c r="S6" s="50"/>
    </row>
    <row r="7" spans="1:19" x14ac:dyDescent="0.25">
      <c r="A7" s="54"/>
      <c r="B7" s="55"/>
      <c r="C7" s="58"/>
      <c r="D7" s="102"/>
      <c r="E7" s="49"/>
      <c r="F7" s="49"/>
      <c r="G7" s="49"/>
      <c r="H7" s="49"/>
      <c r="I7" s="50"/>
      <c r="J7" s="57"/>
      <c r="K7" s="57"/>
      <c r="L7" s="57"/>
      <c r="M7" s="57"/>
      <c r="N7" s="57"/>
      <c r="O7" s="52"/>
      <c r="P7" s="52"/>
      <c r="Q7" s="52"/>
      <c r="R7" s="59"/>
      <c r="S7" s="60"/>
    </row>
    <row r="8" spans="1:19" x14ac:dyDescent="0.25">
      <c r="A8" s="61"/>
      <c r="B8" s="50"/>
      <c r="C8" s="62"/>
      <c r="D8" s="63"/>
      <c r="E8" s="63"/>
      <c r="F8" s="63"/>
      <c r="G8" s="63"/>
      <c r="H8" s="63"/>
      <c r="I8" s="51"/>
      <c r="J8" s="51"/>
      <c r="K8" s="51"/>
      <c r="L8" s="51"/>
      <c r="M8" s="51"/>
      <c r="N8" s="51"/>
      <c r="O8" s="52"/>
      <c r="P8" s="52"/>
      <c r="Q8" s="52"/>
      <c r="R8" s="64"/>
      <c r="S8" s="65"/>
    </row>
    <row r="9" spans="1:19" x14ac:dyDescent="0.25">
      <c r="A9" s="66" t="s">
        <v>43</v>
      </c>
      <c r="B9" s="67" t="s">
        <v>44</v>
      </c>
      <c r="C9" s="68" t="s">
        <v>45</v>
      </c>
      <c r="D9" s="69" t="s">
        <v>46</v>
      </c>
      <c r="E9" s="97" t="s">
        <v>56</v>
      </c>
      <c r="F9" s="69" t="s">
        <v>47</v>
      </c>
      <c r="G9" s="97" t="s">
        <v>57</v>
      </c>
      <c r="H9" s="69" t="s">
        <v>48</v>
      </c>
      <c r="I9" s="103" t="s">
        <v>58</v>
      </c>
      <c r="J9" s="104"/>
      <c r="K9" s="103" t="s">
        <v>59</v>
      </c>
      <c r="L9" s="104"/>
      <c r="M9" s="103" t="s">
        <v>60</v>
      </c>
      <c r="N9" s="104"/>
      <c r="O9" s="98" t="s">
        <v>61</v>
      </c>
      <c r="P9" s="70" t="s">
        <v>49</v>
      </c>
      <c r="Q9" s="98" t="s">
        <v>62</v>
      </c>
      <c r="R9" s="99" t="s">
        <v>63</v>
      </c>
      <c r="S9" s="71" t="s">
        <v>50</v>
      </c>
    </row>
    <row r="10" spans="1:19" x14ac:dyDescent="0.25">
      <c r="A10" s="78"/>
      <c r="B10" s="79"/>
      <c r="C10" s="80"/>
      <c r="D10" s="81"/>
      <c r="E10" s="81"/>
      <c r="F10" s="81"/>
      <c r="G10" s="81"/>
      <c r="H10" s="81"/>
      <c r="I10" s="82" t="s">
        <v>51</v>
      </c>
      <c r="J10" s="82" t="s">
        <v>52</v>
      </c>
      <c r="K10" s="82" t="s">
        <v>51</v>
      </c>
      <c r="L10" s="82" t="s">
        <v>52</v>
      </c>
      <c r="M10" s="82" t="s">
        <v>51</v>
      </c>
      <c r="N10" s="82" t="s">
        <v>52</v>
      </c>
      <c r="O10" s="83"/>
      <c r="P10" s="83"/>
      <c r="Q10" s="83"/>
      <c r="R10" s="84"/>
      <c r="S10" s="85"/>
    </row>
    <row r="11" spans="1:19" x14ac:dyDescent="0.25">
      <c r="A11" s="88"/>
      <c r="B11" s="89"/>
      <c r="C11" s="90"/>
      <c r="D11" s="91"/>
      <c r="E11" s="92"/>
      <c r="F11" s="92"/>
      <c r="G11" s="92"/>
      <c r="H11" s="101"/>
      <c r="I11" s="93"/>
      <c r="J11" s="93"/>
      <c r="K11" s="93"/>
      <c r="L11" s="94"/>
      <c r="M11" s="94"/>
      <c r="N11" s="94"/>
      <c r="O11" s="89"/>
      <c r="P11" s="89"/>
      <c r="Q11" s="100"/>
      <c r="R11" s="89"/>
      <c r="S11" s="95"/>
    </row>
    <row r="12" spans="1:19" x14ac:dyDescent="0.25">
      <c r="A12" s="96" t="s">
        <v>55</v>
      </c>
      <c r="B12" s="87"/>
      <c r="C12" s="87"/>
      <c r="D12" s="87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</row>
  </sheetData>
  <mergeCells count="3">
    <mergeCell ref="I9:J9"/>
    <mergeCell ref="K9:L9"/>
    <mergeCell ref="M9:N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H14" sqref="H14"/>
    </sheetView>
  </sheetViews>
  <sheetFormatPr defaultRowHeight="15" x14ac:dyDescent="0.25"/>
  <cols>
    <col min="1" max="1" width="15.140625" customWidth="1"/>
    <col min="2" max="2" width="13.42578125" customWidth="1"/>
    <col min="3" max="3" width="16.42578125" customWidth="1"/>
    <col min="4" max="4" width="29" customWidth="1"/>
    <col min="5" max="5" width="22.5703125" customWidth="1"/>
    <col min="6" max="6" width="19" customWidth="1"/>
    <col min="7" max="7" width="17.7109375" customWidth="1"/>
    <col min="8" max="8" width="13.140625" customWidth="1"/>
    <col min="9" max="9" width="14.28515625" customWidth="1"/>
    <col min="10" max="10" width="13.140625" customWidth="1"/>
    <col min="11" max="11" width="13.42578125" customWidth="1"/>
    <col min="12" max="12" width="15.28515625" customWidth="1"/>
    <col min="13" max="13" width="14.28515625" customWidth="1"/>
    <col min="14" max="14" width="11.7109375" customWidth="1"/>
    <col min="15" max="15" width="10" customWidth="1"/>
  </cols>
  <sheetData>
    <row r="1" spans="1:16" ht="15.75" x14ac:dyDescent="0.25">
      <c r="A1" s="105" t="s">
        <v>1</v>
      </c>
      <c r="B1" s="106"/>
      <c r="C1" s="107"/>
      <c r="D1" s="108"/>
      <c r="E1" s="108"/>
      <c r="F1" s="109"/>
      <c r="G1" s="109"/>
      <c r="H1" s="110"/>
      <c r="I1" s="110"/>
      <c r="J1" s="110"/>
      <c r="K1" s="111"/>
      <c r="L1" s="112"/>
      <c r="M1" s="112"/>
      <c r="N1" s="110"/>
      <c r="O1" s="107"/>
      <c r="P1" s="110"/>
    </row>
    <row r="2" spans="1:16" ht="15.75" x14ac:dyDescent="0.25">
      <c r="A2" s="113" t="s">
        <v>0</v>
      </c>
      <c r="B2" s="106"/>
      <c r="C2" s="107"/>
      <c r="D2" s="108"/>
      <c r="E2" s="108"/>
      <c r="F2" s="109"/>
      <c r="G2" s="109"/>
      <c r="H2" s="110"/>
      <c r="I2" s="110"/>
      <c r="J2" s="110"/>
      <c r="K2" s="111"/>
      <c r="L2" s="112"/>
      <c r="M2" s="112"/>
      <c r="N2" s="110"/>
      <c r="O2" s="107"/>
      <c r="P2" s="110"/>
    </row>
    <row r="3" spans="1:16" ht="18.75" x14ac:dyDescent="0.25">
      <c r="A3" s="114"/>
      <c r="B3" s="115"/>
      <c r="C3" s="116"/>
      <c r="D3" s="117"/>
      <c r="E3" s="117"/>
      <c r="F3" s="117"/>
      <c r="G3" s="117"/>
      <c r="H3" s="118" t="s">
        <v>64</v>
      </c>
      <c r="I3" s="118"/>
      <c r="J3" s="115"/>
      <c r="K3" s="119"/>
      <c r="L3" s="120"/>
      <c r="M3" s="120"/>
      <c r="N3" s="115"/>
      <c r="O3" s="116"/>
      <c r="P3" s="115"/>
    </row>
    <row r="4" spans="1:16" x14ac:dyDescent="0.25">
      <c r="A4" s="121"/>
      <c r="B4" s="122"/>
      <c r="C4" s="123"/>
      <c r="D4" s="124"/>
      <c r="E4" s="124"/>
      <c r="F4" s="125"/>
      <c r="G4" s="125"/>
      <c r="H4" s="122"/>
      <c r="I4" s="122"/>
      <c r="J4" s="122"/>
      <c r="K4" s="126"/>
      <c r="L4" s="127"/>
      <c r="M4" s="127"/>
      <c r="N4" s="122"/>
      <c r="O4" s="123"/>
      <c r="P4" s="122"/>
    </row>
    <row r="5" spans="1:16" ht="25.5" x14ac:dyDescent="0.25">
      <c r="A5" s="128" t="s">
        <v>43</v>
      </c>
      <c r="B5" s="129" t="s">
        <v>44</v>
      </c>
      <c r="C5" s="130" t="s">
        <v>65</v>
      </c>
      <c r="D5" s="130" t="s">
        <v>46</v>
      </c>
      <c r="E5" s="130" t="s">
        <v>45</v>
      </c>
      <c r="F5" s="131" t="s">
        <v>66</v>
      </c>
      <c r="G5" s="131" t="s">
        <v>67</v>
      </c>
      <c r="H5" s="131" t="s">
        <v>68</v>
      </c>
      <c r="I5" s="131" t="s">
        <v>69</v>
      </c>
      <c r="J5" s="131" t="s">
        <v>62</v>
      </c>
      <c r="K5" s="132" t="s">
        <v>63</v>
      </c>
      <c r="L5" s="130" t="s">
        <v>70</v>
      </c>
      <c r="M5" s="130" t="s">
        <v>71</v>
      </c>
      <c r="N5" s="129" t="s">
        <v>72</v>
      </c>
      <c r="O5" s="130" t="s">
        <v>73</v>
      </c>
      <c r="P5" s="129" t="s">
        <v>5</v>
      </c>
    </row>
    <row r="6" spans="1:16" ht="16.5" x14ac:dyDescent="0.25">
      <c r="A6" s="133"/>
      <c r="B6" s="134"/>
      <c r="C6" s="135"/>
      <c r="D6" s="136"/>
      <c r="E6" s="136"/>
      <c r="F6" s="137"/>
      <c r="G6" s="137"/>
      <c r="H6" s="137"/>
      <c r="I6" s="137"/>
      <c r="J6" s="138"/>
      <c r="K6" s="139"/>
      <c r="L6" s="140"/>
      <c r="M6" s="141"/>
      <c r="N6" s="134"/>
      <c r="O6" s="137"/>
      <c r="P6" s="134"/>
    </row>
    <row r="7" spans="1:16" x14ac:dyDescent="0.25">
      <c r="A7" s="133"/>
      <c r="B7" s="134"/>
      <c r="C7" s="142"/>
      <c r="D7" s="136"/>
      <c r="E7" s="136"/>
      <c r="F7" s="137"/>
      <c r="G7" s="137"/>
      <c r="H7" s="137"/>
      <c r="I7" s="137"/>
      <c r="J7" s="138"/>
      <c r="K7" s="139"/>
      <c r="L7" s="140"/>
      <c r="M7" s="141"/>
      <c r="N7" s="134"/>
      <c r="O7" s="137"/>
      <c r="P7" s="1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0" sqref="F10"/>
    </sheetView>
  </sheetViews>
  <sheetFormatPr defaultRowHeight="15" x14ac:dyDescent="0.25"/>
  <cols>
    <col min="1" max="1" width="19.42578125" customWidth="1"/>
    <col min="2" max="2" width="26.7109375" customWidth="1"/>
    <col min="3" max="3" width="23" customWidth="1"/>
    <col min="4" max="4" width="19.42578125" customWidth="1"/>
    <col min="5" max="5" width="22.85546875" customWidth="1"/>
    <col min="6" max="6" width="21.85546875" customWidth="1"/>
    <col min="7" max="7" width="27" customWidth="1"/>
  </cols>
  <sheetData>
    <row r="1" spans="1:7" ht="15.75" x14ac:dyDescent="0.25">
      <c r="A1" s="105" t="s">
        <v>1</v>
      </c>
      <c r="B1" s="107"/>
      <c r="C1" s="107"/>
      <c r="D1" s="143"/>
      <c r="E1" s="143"/>
      <c r="F1" s="143"/>
      <c r="G1" s="110"/>
    </row>
    <row r="2" spans="1:7" ht="15.75" x14ac:dyDescent="0.25">
      <c r="A2" s="144" t="s">
        <v>0</v>
      </c>
      <c r="B2" s="107"/>
      <c r="C2" s="107"/>
      <c r="D2" s="143"/>
      <c r="E2" s="143"/>
      <c r="F2" s="143"/>
      <c r="G2" s="110"/>
    </row>
    <row r="3" spans="1:7" ht="18.75" x14ac:dyDescent="0.25">
      <c r="A3" s="117"/>
      <c r="B3" s="145"/>
      <c r="C3" s="146"/>
      <c r="D3" s="117"/>
      <c r="E3" s="118" t="s">
        <v>74</v>
      </c>
      <c r="F3" s="117"/>
      <c r="G3" s="118"/>
    </row>
    <row r="4" spans="1:7" x14ac:dyDescent="0.25">
      <c r="A4" s="147"/>
      <c r="B4" s="123"/>
      <c r="C4" s="123"/>
      <c r="D4" s="148"/>
      <c r="E4" s="148"/>
      <c r="F4" s="148"/>
      <c r="G4" s="122"/>
    </row>
    <row r="5" spans="1:7" ht="31.5" x14ac:dyDescent="0.25">
      <c r="A5" s="149" t="s">
        <v>81</v>
      </c>
      <c r="B5" s="150" t="s">
        <v>86</v>
      </c>
      <c r="C5" s="150" t="s">
        <v>82</v>
      </c>
      <c r="D5" s="151" t="s">
        <v>23</v>
      </c>
      <c r="E5" s="151" t="s">
        <v>83</v>
      </c>
      <c r="F5" s="151" t="s">
        <v>84</v>
      </c>
      <c r="G5" s="150" t="s">
        <v>85</v>
      </c>
    </row>
    <row r="6" spans="1:7" x14ac:dyDescent="0.25">
      <c r="A6" s="152"/>
      <c r="B6" s="153"/>
      <c r="C6" s="154" t="str">
        <f>+IFERROR(VLOOKUP(B6,'[1]DM Máy móc, thiết bị'!A:B,2,0),"-")</f>
        <v>-</v>
      </c>
      <c r="D6" s="155"/>
      <c r="E6" s="155"/>
      <c r="F6" s="156"/>
      <c r="G6" s="157"/>
    </row>
    <row r="7" spans="1:7" ht="15.75" x14ac:dyDescent="0.25">
      <c r="A7" s="160" t="s">
        <v>55</v>
      </c>
      <c r="B7" s="159"/>
      <c r="C7" s="159"/>
      <c r="D7" s="159"/>
      <c r="E7" s="159"/>
      <c r="F7" s="159"/>
      <c r="G7" s="1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sqref="A1:K7"/>
    </sheetView>
  </sheetViews>
  <sheetFormatPr defaultRowHeight="15" x14ac:dyDescent="0.25"/>
  <cols>
    <col min="1" max="1" width="20.5703125" customWidth="1"/>
    <col min="2" max="2" width="20.7109375" customWidth="1"/>
    <col min="3" max="3" width="19.7109375" customWidth="1"/>
    <col min="4" max="4" width="17.7109375" customWidth="1"/>
    <col min="5" max="5" width="23.140625" customWidth="1"/>
    <col min="6" max="6" width="19.5703125" customWidth="1"/>
    <col min="7" max="8" width="19" customWidth="1"/>
    <col min="9" max="9" width="17.28515625" customWidth="1"/>
    <col min="10" max="10" width="13.42578125" customWidth="1"/>
    <col min="11" max="11" width="16.42578125" customWidth="1"/>
  </cols>
  <sheetData>
    <row r="1" spans="1:11" ht="15.75" x14ac:dyDescent="0.25">
      <c r="A1" s="105" t="s">
        <v>1</v>
      </c>
      <c r="B1" s="107"/>
      <c r="C1" s="107"/>
      <c r="D1" s="143"/>
      <c r="E1" s="143"/>
      <c r="F1" s="143"/>
      <c r="G1" s="110"/>
      <c r="H1" s="110"/>
      <c r="I1" s="112"/>
      <c r="J1" s="112"/>
      <c r="K1" s="112"/>
    </row>
    <row r="2" spans="1:11" ht="15.75" x14ac:dyDescent="0.25">
      <c r="A2" s="144" t="s">
        <v>0</v>
      </c>
      <c r="B2" s="107"/>
      <c r="C2" s="107"/>
      <c r="D2" s="143"/>
      <c r="E2" s="143"/>
      <c r="F2" s="143"/>
      <c r="G2" s="110"/>
      <c r="H2" s="110"/>
      <c r="I2" s="112"/>
      <c r="J2" s="112"/>
      <c r="K2" s="112"/>
    </row>
    <row r="3" spans="1:11" ht="18.75" x14ac:dyDescent="0.25">
      <c r="A3" s="117"/>
      <c r="B3" s="145"/>
      <c r="C3" s="146"/>
      <c r="D3" s="117"/>
      <c r="E3" s="117"/>
      <c r="F3" s="117"/>
      <c r="G3" s="118" t="s">
        <v>74</v>
      </c>
      <c r="H3" s="118"/>
      <c r="I3" s="120"/>
      <c r="J3" s="120"/>
      <c r="K3" s="120"/>
    </row>
    <row r="4" spans="1:11" x14ac:dyDescent="0.25">
      <c r="A4" s="147"/>
      <c r="B4" s="123"/>
      <c r="C4" s="123"/>
      <c r="D4" s="148"/>
      <c r="E4" s="148"/>
      <c r="F4" s="148"/>
      <c r="G4" s="122"/>
      <c r="H4" s="122"/>
      <c r="I4" s="127"/>
      <c r="J4" s="127"/>
      <c r="K4" s="127"/>
    </row>
    <row r="5" spans="1:11" ht="31.5" x14ac:dyDescent="0.25">
      <c r="A5" s="149" t="s">
        <v>75</v>
      </c>
      <c r="B5" s="150" t="s">
        <v>65</v>
      </c>
      <c r="C5" s="150" t="s">
        <v>46</v>
      </c>
      <c r="D5" s="151" t="s">
        <v>50</v>
      </c>
      <c r="E5" s="151" t="s">
        <v>45</v>
      </c>
      <c r="F5" s="151" t="s">
        <v>80</v>
      </c>
      <c r="G5" s="151" t="s">
        <v>76</v>
      </c>
      <c r="H5" s="151" t="s">
        <v>77</v>
      </c>
      <c r="I5" s="150" t="s">
        <v>78</v>
      </c>
      <c r="J5" s="150" t="s">
        <v>23</v>
      </c>
      <c r="K5" s="150" t="s">
        <v>79</v>
      </c>
    </row>
    <row r="6" spans="1:11" x14ac:dyDescent="0.25">
      <c r="A6" s="152"/>
      <c r="B6" s="153"/>
      <c r="C6" s="154" t="str">
        <f>+IFERROR(VLOOKUP(B6,'[1]DM Máy móc, thiết bị'!A:B,2,0),"-")</f>
        <v>-</v>
      </c>
      <c r="D6" s="155"/>
      <c r="E6" s="155"/>
      <c r="F6" s="156"/>
      <c r="G6" s="157"/>
      <c r="H6" s="157"/>
      <c r="I6" s="158"/>
      <c r="J6" s="158"/>
      <c r="K6" s="158"/>
    </row>
    <row r="7" spans="1:11" ht="15.75" x14ac:dyDescent="0.25">
      <c r="A7" s="160" t="s">
        <v>55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TMP_KHACH_HANG</vt:lpstr>
      <vt:lpstr>TMP_NHAN_VIEN</vt:lpstr>
      <vt:lpstr>TMP_CONG_TRINH</vt:lpstr>
      <vt:lpstr>TMP_THIET_BI</vt:lpstr>
      <vt:lpstr>TMP_TONG_HOP</vt:lpstr>
      <vt:lpstr>TMP_CHI_PHI</vt:lpstr>
      <vt:lpstr>TMP_NHAP_NHIEN_LIEU</vt:lpstr>
      <vt:lpstr>TMP_CAP_NHIEN_LIEU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2025-12-26T09:35:31Z</dcterms:modified>
</cp:coreProperties>
</file>